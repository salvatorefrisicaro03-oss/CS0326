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NA EPICODE\Build week 1\"/>
    </mc:Choice>
  </mc:AlternateContent>
  <bookViews>
    <workbookView xWindow="0" yWindow="0" windowWidth="23040" windowHeight="9780"/>
  </bookViews>
  <sheets>
    <sheet name="Foglio1" sheetId="1" r:id="rId1"/>
  </sheets>
  <calcPr calcId="162913"/>
</workbook>
</file>

<file path=xl/calcChain.xml><?xml version="1.0" encoding="utf-8"?>
<calcChain xmlns="http://schemas.openxmlformats.org/spreadsheetml/2006/main">
  <c r="H3" i="1" l="1"/>
  <c r="H17" i="1" s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<sst xmlns="http://schemas.openxmlformats.org/spreadsheetml/2006/main" count="67" uniqueCount="56">
  <si>
    <t>Categoria</t>
  </si>
  <si>
    <t>Marca</t>
  </si>
  <si>
    <t>Modello</t>
  </si>
  <si>
    <t>Qtà</t>
  </si>
  <si>
    <t>Prezzo Unit. (€)</t>
  </si>
  <si>
    <t>Link</t>
  </si>
  <si>
    <t>Totale (€)</t>
  </si>
  <si>
    <t>Switch Core L3</t>
  </si>
  <si>
    <t>Cisco</t>
  </si>
  <si>
    <t>Cisco Catalyst C9300-24T-E</t>
  </si>
  <si>
    <t>Router</t>
  </si>
  <si>
    <t>Catalyst C8300-1N1S-6T</t>
  </si>
  <si>
    <t>Switch PoE</t>
  </si>
  <si>
    <t>FS</t>
  </si>
  <si>
    <t>S2805S-24TF-P</t>
  </si>
  <si>
    <t>NAS</t>
  </si>
  <si>
    <t>Synology</t>
  </si>
  <si>
    <t>RackStation RS3621RPxs</t>
  </si>
  <si>
    <t>HDD Enterprise</t>
  </si>
  <si>
    <t>Seagate</t>
  </si>
  <si>
    <t>Exos X20 20 TB</t>
  </si>
  <si>
    <t>Desktop Business</t>
  </si>
  <si>
    <t>Dell</t>
  </si>
  <si>
    <t>OptiPlex 7020 SFF</t>
  </si>
  <si>
    <t>Notebook Business</t>
  </si>
  <si>
    <t>Latitude 5450</t>
  </si>
  <si>
    <t>Monitor</t>
  </si>
  <si>
    <t>P2425H 24" IPS</t>
  </si>
  <si>
    <t>Kit Tastiera + Mouse</t>
  </si>
  <si>
    <t>Logitech</t>
  </si>
  <si>
    <t>MK270 Wireless Combo</t>
  </si>
  <si>
    <t>Notebook Premium</t>
  </si>
  <si>
    <t>Apple</t>
  </si>
  <si>
    <t>MacBook Pro M5 – 32 GB</t>
  </si>
  <si>
    <t>Mobile Workstation</t>
  </si>
  <si>
    <t>Lenovo</t>
  </si>
  <si>
    <t>ThinkPad P16 Gen 3 – 64 GB</t>
  </si>
  <si>
    <t>Cablaggio</t>
  </si>
  <si>
    <t>Generico</t>
  </si>
  <si>
    <t>Cavo HDMI 2.1 certificato</t>
  </si>
  <si>
    <t>Tastiere e mouse</t>
  </si>
  <si>
    <t>Notebook premium</t>
  </si>
  <si>
    <t>Mobile workstation</t>
  </si>
  <si>
    <t>Cavo HDMI</t>
  </si>
  <si>
    <t>Cavo Ethernet Cat.6A 10 m (pacco da 10)</t>
  </si>
  <si>
    <t>Cavo ethernet</t>
  </si>
  <si>
    <t>Desktop business</t>
  </si>
  <si>
    <t>Monitor Dell</t>
  </si>
  <si>
    <r>
      <rPr>
        <b/>
        <sz val="11"/>
        <color theme="1"/>
        <rFont val="Calibri"/>
        <family val="2"/>
        <scheme val="minor"/>
      </rPr>
      <t xml:space="preserve">Router   </t>
    </r>
    <r>
      <rPr>
        <sz val="11"/>
        <color theme="1"/>
        <rFont val="Calibri"/>
        <family val="2"/>
        <scheme val="minor"/>
      </rPr>
      <t xml:space="preserve">                                  (il firewall fisico è incorporato nel router)</t>
    </r>
  </si>
  <si>
    <t>Software Firewall NGFW</t>
  </si>
  <si>
    <t>L'infrastruttura è stata progettata prevedendo una crescita futura del numero di postazioni di lavoro senza richiedere la sostituzione del router principale.</t>
  </si>
  <si>
    <t>Commenti</t>
  </si>
  <si>
    <t>Licenza software Cisco DNA Advantage per Catalyst C8300, necessaria per abilitare le funzionalità avanzate di rete e sicurezza del router, incluse le capacità di Next Generation Firewall (NGFW), VPN, segmentazione della rete e gestione centralizzata.</t>
  </si>
  <si>
    <t>TOTALE COMPLESSIVO IVA INCLUSA                                                                   (€)</t>
  </si>
  <si>
    <t>Software firewall</t>
  </si>
  <si>
    <t>Cisco DNA Advantage Subscription (L-DNA-C8300) - 7 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</si>
</sst>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/>
    </xf>
    <xf numFmtId="3" fontId="3" fillId="2" borderId="0" xfId="0" applyNumberFormat="1" applyFont="1" applyFill="1"/>
    <xf numFmtId="3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2" borderId="0" xfId="0" applyFont="1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rmsystems.com/c8300-1n1s-6t-price.html?utm_source=chatgpt.com" TargetMode="External"/><Relationship Id="rId13" Type="http://schemas.openxmlformats.org/officeDocument/2006/relationships/hyperlink" Target="https://www.mediaworld.it/it/product/_dell-p2425h-monitor-24-full-hd-1920-x-1080-pixel-142974978.html?utm_source=chatgpt.com" TargetMode="External"/><Relationship Id="rId3" Type="http://schemas.openxmlformats.org/officeDocument/2006/relationships/hyperlink" Target="https://www.amazon.it/Apple-MacBook-Portatile-chip-core/dp/B0GR1B65JZ/ref=sr_1_1?adgrpid=55318916831&amp;dib=eyJ2IjoiMSJ9.V64rQFkBGIPUAl7j8B6n5GHuf_Ekbu9rOHvIDfQq3HAt1hnDRqIO6bLwdCNVA9aTjVLjgDTFCJfM1GcKtJoTophskATRyu58GtXTwXRAft5eqMRvhEFbs08fBf-eEG7EYJ7jHI7qf" TargetMode="External"/><Relationship Id="rId7" Type="http://schemas.openxmlformats.org/officeDocument/2006/relationships/hyperlink" Target="https://it-planet.com/it/p/cisco-c9300-24t-e-381667.html" TargetMode="External"/><Relationship Id="rId12" Type="http://schemas.openxmlformats.org/officeDocument/2006/relationships/hyperlink" Target="https://www.europc.com/it/dell-latitude-14-5450-laptop-grigio-intel-core-ultra-5-135u-16gb-ram-512gb-ssd-14-1920x1080-fhd-dell-3-anni-di-garanzia-inglese-tastiera-172592.html?utm_source=chatgpt.com" TargetMode="External"/><Relationship Id="rId2" Type="http://schemas.openxmlformats.org/officeDocument/2006/relationships/hyperlink" Target="https://www.logitech.com/it-it/shop/p/mk270-wireless-keyboard-mouse" TargetMode="External"/><Relationship Id="rId1" Type="http://schemas.openxmlformats.org/officeDocument/2006/relationships/hyperlink" Target="https://www.techoutlet.eu/dell-optiplex-7020-i5-i5-14500-16gb-512gb-w11p-sff-pc-black.html" TargetMode="External"/><Relationship Id="rId6" Type="http://schemas.openxmlformats.org/officeDocument/2006/relationships/hyperlink" Target="https://www.amazon.it/freiwerk-CAT-6a-Ethernet-Patch-bianco/dp/B0CLSKJKDZ/ref=sr_1_1_sspa?__mk_it_IT=%C3%85M%C3%85%C5%BD%C3%95%C3%91&amp;crid=H6DAX474GM54&amp;dib=eyJ2IjoiMSJ9.VI0mHlvnmfieDmX6k9DIyXgPY6djDpHL9bOBHegZKSSka3bGShD05Sa5AFl4gTrgC7-gIB8ezg_XUG6FtKOi3aG" TargetMode="External"/><Relationship Id="rId11" Type="http://schemas.openxmlformats.org/officeDocument/2006/relationships/hyperlink" Target="https://www.senetic.it/product/N011O7020SFFEMEA_VP" TargetMode="External"/><Relationship Id="rId5" Type="http://schemas.openxmlformats.org/officeDocument/2006/relationships/hyperlink" Target="https://www.amazon.it/Sniokco-48Gbps-Certificato-Velocit%C3%A0-Netflix/dp/B0FKBLLX25/ref=sr_1_1_sspa?crid=23QT1HZETJUHN&amp;dib=eyJ2IjoiMSJ9.SLKKxF97M9N_TVfertU7voWDwPoz8Fo-RBfDk2lIV7hblp58u_OnO3DGdkvfLM4SHBE7ZYinIkYpTO_nC0rkEiBRvZfWZbzLFjtKjp77C991Nb4LeFU2Bo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bechtle.com/it/shop/hdd-20-tb-seagate-exos-x20--4637532--p?origin=autosuggest" TargetMode="External"/><Relationship Id="rId4" Type="http://schemas.openxmlformats.org/officeDocument/2006/relationships/hyperlink" Target="https://www.amazon.it/Lenovo-ThinkPad-Workstation-DDR5-SDRAM-802-11ax/dp/B0DPNDQJ27/ref=sr_1_4?__mk_it_IT=%C3%85M%C3%85%C5%BD%C3%95%C3%91&amp;crid=2ILTXZI1RAH95&amp;dib=eyJ2IjoiMSJ9.mkcxlImro_63Z2Mon5Y8jcEdfjzV7VO8J30s-75qocBxwHJuKuRDaCISHuGxRFGtUgyIcnIZ24Opf8Bz3" TargetMode="External"/><Relationship Id="rId9" Type="http://schemas.openxmlformats.org/officeDocument/2006/relationships/hyperlink" Target="https://servermall.com/sets/synology-storage/?utm_source=google&amp;utm_medium=cpc&amp;utm_campaign=Storages_All.21882189772&amp;utm_content=Synology_Servers_Storage.195379108703.ad.&amp;utm_term=rackstation%20rs3621rpxs&amp;gad_source=1&amp;gad_campaignid=21882189772&amp;gbraid=0AA" TargetMode="External"/><Relationship Id="rId14" Type="http://schemas.openxmlformats.org/officeDocument/2006/relationships/hyperlink" Target="https://networkwarehouse.co.uk/products/cisco-catalyst-8300-series-edge-platform-dna-licenses-cloud?srsltid=AfmBOoqanCYDsb9FGkJSq2Gj4mhRqpGpzulSFbL8QNPrwjV9lJkwNXGA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zoomScale="90" zoomScaleNormal="90" workbookViewId="0">
      <selection activeCell="M11" sqref="M11"/>
    </sheetView>
  </sheetViews>
  <sheetFormatPr defaultRowHeight="14.4" x14ac:dyDescent="0.3"/>
  <cols>
    <col min="1" max="1" width="20.44140625" customWidth="1"/>
    <col min="2" max="2" width="21.33203125" bestFit="1" customWidth="1"/>
    <col min="3" max="3" width="24.5546875" customWidth="1"/>
    <col min="4" max="4" width="36.109375" customWidth="1"/>
    <col min="5" max="5" width="8.88671875" style="5"/>
    <col min="6" max="6" width="14.33203125" style="5" customWidth="1"/>
    <col min="7" max="7" width="64.21875" customWidth="1"/>
    <col min="8" max="8" width="24.109375" customWidth="1"/>
  </cols>
  <sheetData>
    <row r="1" spans="1:8" ht="28.8" customHeight="1" x14ac:dyDescent="0.3">
      <c r="A1" s="14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ht="43.2" customHeight="1" x14ac:dyDescent="0.3">
      <c r="B2" s="10" t="s">
        <v>7</v>
      </c>
      <c r="C2" s="3" t="s">
        <v>8</v>
      </c>
      <c r="D2" s="3" t="s">
        <v>9</v>
      </c>
      <c r="E2" s="6">
        <v>1</v>
      </c>
      <c r="F2" s="9">
        <v>563</v>
      </c>
      <c r="G2" s="7" t="s">
        <v>7</v>
      </c>
      <c r="H2" s="4">
        <f>E2*F2</f>
        <v>563</v>
      </c>
    </row>
    <row r="3" spans="1:8" ht="125.4" customHeight="1" x14ac:dyDescent="0.3">
      <c r="A3" s="13" t="s">
        <v>52</v>
      </c>
      <c r="B3" s="11" t="s">
        <v>49</v>
      </c>
      <c r="C3" s="3" t="s">
        <v>8</v>
      </c>
      <c r="D3" s="12" t="s">
        <v>55</v>
      </c>
      <c r="E3" s="6">
        <v>1</v>
      </c>
      <c r="F3" s="15">
        <v>2450</v>
      </c>
      <c r="G3" s="7" t="s">
        <v>54</v>
      </c>
      <c r="H3" s="4">
        <f t="shared" ref="H3:H15" si="0">E3*F3</f>
        <v>2450</v>
      </c>
    </row>
    <row r="4" spans="1:8" ht="99" customHeight="1" x14ac:dyDescent="0.3">
      <c r="A4" s="13" t="s">
        <v>50</v>
      </c>
      <c r="B4" s="3" t="s">
        <v>48</v>
      </c>
      <c r="C4" s="3" t="s">
        <v>8</v>
      </c>
      <c r="D4" s="3" t="s">
        <v>11</v>
      </c>
      <c r="E4" s="6">
        <v>1</v>
      </c>
      <c r="F4" s="9">
        <v>4480</v>
      </c>
      <c r="G4" s="7" t="s">
        <v>10</v>
      </c>
      <c r="H4" s="4">
        <f t="shared" si="0"/>
        <v>4480</v>
      </c>
    </row>
    <row r="5" spans="1:8" ht="28.8" customHeight="1" x14ac:dyDescent="0.3">
      <c r="B5" s="10" t="s">
        <v>12</v>
      </c>
      <c r="C5" s="3" t="s">
        <v>13</v>
      </c>
      <c r="D5" s="3" t="s">
        <v>14</v>
      </c>
      <c r="E5" s="6">
        <v>6</v>
      </c>
      <c r="F5" s="6">
        <v>631</v>
      </c>
      <c r="G5" s="7" t="s">
        <v>12</v>
      </c>
      <c r="H5" s="4">
        <f t="shared" si="0"/>
        <v>3786</v>
      </c>
    </row>
    <row r="6" spans="1:8" ht="57.6" customHeight="1" x14ac:dyDescent="0.3">
      <c r="B6" s="10" t="s">
        <v>15</v>
      </c>
      <c r="C6" s="3" t="s">
        <v>16</v>
      </c>
      <c r="D6" s="3" t="s">
        <v>17</v>
      </c>
      <c r="E6" s="6">
        <v>1</v>
      </c>
      <c r="F6" s="9">
        <v>1021.39</v>
      </c>
      <c r="G6" s="7" t="s">
        <v>15</v>
      </c>
      <c r="H6" s="4">
        <f t="shared" si="0"/>
        <v>1021.39</v>
      </c>
    </row>
    <row r="7" spans="1:8" ht="43.2" customHeight="1" x14ac:dyDescent="0.3">
      <c r="B7" s="10" t="s">
        <v>18</v>
      </c>
      <c r="C7" s="3" t="s">
        <v>19</v>
      </c>
      <c r="D7" s="3" t="s">
        <v>20</v>
      </c>
      <c r="E7" s="6">
        <v>8</v>
      </c>
      <c r="F7" s="9">
        <v>1218</v>
      </c>
      <c r="G7" s="7" t="s">
        <v>18</v>
      </c>
      <c r="H7" s="4">
        <f t="shared" si="0"/>
        <v>9744</v>
      </c>
    </row>
    <row r="8" spans="1:8" ht="28.8" customHeight="1" x14ac:dyDescent="0.3">
      <c r="B8" s="10" t="s">
        <v>21</v>
      </c>
      <c r="C8" s="3" t="s">
        <v>22</v>
      </c>
      <c r="D8" s="3" t="s">
        <v>23</v>
      </c>
      <c r="E8" s="6">
        <v>65</v>
      </c>
      <c r="F8" s="9">
        <v>1400</v>
      </c>
      <c r="G8" s="7" t="s">
        <v>46</v>
      </c>
      <c r="H8" s="4">
        <f t="shared" si="0"/>
        <v>91000</v>
      </c>
    </row>
    <row r="9" spans="1:8" ht="43.2" customHeight="1" x14ac:dyDescent="0.3">
      <c r="B9" s="10" t="s">
        <v>24</v>
      </c>
      <c r="C9" s="3" t="s">
        <v>22</v>
      </c>
      <c r="D9" s="3" t="s">
        <v>25</v>
      </c>
      <c r="E9" s="6">
        <v>30</v>
      </c>
      <c r="F9" s="9">
        <v>1033</v>
      </c>
      <c r="G9" s="7" t="s">
        <v>24</v>
      </c>
      <c r="H9" s="4">
        <f t="shared" si="0"/>
        <v>30990</v>
      </c>
    </row>
    <row r="10" spans="1:8" ht="28.8" customHeight="1" x14ac:dyDescent="0.3">
      <c r="B10" s="10" t="s">
        <v>26</v>
      </c>
      <c r="C10" s="3" t="s">
        <v>22</v>
      </c>
      <c r="D10" s="3" t="s">
        <v>27</v>
      </c>
      <c r="E10" s="6">
        <v>80</v>
      </c>
      <c r="F10" s="6">
        <v>140</v>
      </c>
      <c r="G10" s="7" t="s">
        <v>47</v>
      </c>
      <c r="H10" s="4">
        <f t="shared" si="0"/>
        <v>11200</v>
      </c>
    </row>
    <row r="11" spans="1:8" ht="43.2" customHeight="1" x14ac:dyDescent="0.3">
      <c r="B11" s="10" t="s">
        <v>28</v>
      </c>
      <c r="C11" s="3" t="s">
        <v>29</v>
      </c>
      <c r="D11" s="3" t="s">
        <v>30</v>
      </c>
      <c r="E11" s="6">
        <v>80</v>
      </c>
      <c r="F11" s="6">
        <v>25</v>
      </c>
      <c r="G11" s="7" t="s">
        <v>40</v>
      </c>
      <c r="H11" s="4">
        <f t="shared" si="0"/>
        <v>2000</v>
      </c>
    </row>
    <row r="12" spans="1:8" ht="43.2" customHeight="1" x14ac:dyDescent="0.3">
      <c r="B12" s="10" t="s">
        <v>31</v>
      </c>
      <c r="C12" s="3" t="s">
        <v>32</v>
      </c>
      <c r="D12" s="3" t="s">
        <v>33</v>
      </c>
      <c r="E12" s="6">
        <v>5</v>
      </c>
      <c r="F12" s="9">
        <v>3000</v>
      </c>
      <c r="G12" s="7" t="s">
        <v>41</v>
      </c>
      <c r="H12" s="4">
        <f t="shared" si="0"/>
        <v>15000</v>
      </c>
    </row>
    <row r="13" spans="1:8" ht="43.2" customHeight="1" x14ac:dyDescent="0.3">
      <c r="B13" s="10" t="s">
        <v>34</v>
      </c>
      <c r="C13" s="3" t="s">
        <v>35</v>
      </c>
      <c r="D13" s="3" t="s">
        <v>36</v>
      </c>
      <c r="E13" s="6">
        <v>5</v>
      </c>
      <c r="F13" s="9">
        <v>2500</v>
      </c>
      <c r="G13" s="7" t="s">
        <v>42</v>
      </c>
      <c r="H13" s="4">
        <f t="shared" si="0"/>
        <v>12500</v>
      </c>
    </row>
    <row r="14" spans="1:8" ht="57.6" customHeight="1" x14ac:dyDescent="0.3">
      <c r="B14" s="10" t="s">
        <v>37</v>
      </c>
      <c r="C14" s="3" t="s">
        <v>38</v>
      </c>
      <c r="D14" s="3" t="s">
        <v>39</v>
      </c>
      <c r="E14" s="6">
        <v>50</v>
      </c>
      <c r="F14" s="6">
        <v>13</v>
      </c>
      <c r="G14" s="7" t="s">
        <v>43</v>
      </c>
      <c r="H14" s="4">
        <f t="shared" si="0"/>
        <v>650</v>
      </c>
    </row>
    <row r="15" spans="1:8" ht="57.6" customHeight="1" x14ac:dyDescent="0.3">
      <c r="B15" s="10" t="s">
        <v>37</v>
      </c>
      <c r="C15" s="3" t="s">
        <v>38</v>
      </c>
      <c r="D15" s="3" t="s">
        <v>44</v>
      </c>
      <c r="E15" s="6">
        <v>14</v>
      </c>
      <c r="F15" s="6">
        <v>46</v>
      </c>
      <c r="G15" s="7" t="s">
        <v>45</v>
      </c>
      <c r="H15" s="4">
        <f t="shared" si="0"/>
        <v>644</v>
      </c>
    </row>
    <row r="17" spans="7:8" x14ac:dyDescent="0.3">
      <c r="G17" s="16" t="s">
        <v>53</v>
      </c>
      <c r="H17" s="8">
        <f>H2+H3+H4+H5+H6+H7+H8+H9+H10+H11+H12+H13+H14+H15</f>
        <v>186028.39</v>
      </c>
    </row>
  </sheetData>
  <hyperlinks>
    <hyperlink ref="G5" r:id="rId1"/>
    <hyperlink ref="G11" r:id="rId2"/>
    <hyperlink ref="G12" r:id="rId3"/>
    <hyperlink ref="G13" r:id="rId4"/>
    <hyperlink ref="G14" r:id="rId5"/>
    <hyperlink ref="G15" r:id="rId6"/>
    <hyperlink ref="G2" r:id="rId7"/>
    <hyperlink ref="G4" r:id="rId8"/>
    <hyperlink ref="G6" r:id="rId9"/>
    <hyperlink ref="G7" r:id="rId10"/>
    <hyperlink ref="G8" r:id="rId11"/>
    <hyperlink ref="G9" r:id="rId12"/>
    <hyperlink ref="G10" r:id="rId13"/>
    <hyperlink ref="G3" r:id="rId14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</dc:creator>
  <cp:lastModifiedBy>emanuele</cp:lastModifiedBy>
  <dcterms:created xsi:type="dcterms:W3CDTF">2026-06-30T10:26:11Z</dcterms:created>
  <dcterms:modified xsi:type="dcterms:W3CDTF">2026-07-03T11:34:39Z</dcterms:modified>
</cp:coreProperties>
</file>